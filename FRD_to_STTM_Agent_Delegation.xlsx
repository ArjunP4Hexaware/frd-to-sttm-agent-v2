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2000198467\Desktop\frd-to-sttm-agent\"/>
    </mc:Choice>
  </mc:AlternateContent>
  <xr:revisionPtr revIDLastSave="0" documentId="13_ncr:1_{BDE964A7-1B97-483C-9EE6-4D6EFD7CD3FF}" xr6:coauthVersionLast="47" xr6:coauthVersionMax="47" xr10:uidLastSave="{00000000-0000-0000-0000-000000000000}"/>
  <bookViews>
    <workbookView xWindow="-110" yWindow="-110" windowWidth="19420" windowHeight="10300" xr2:uid="{00000000-000D-0000-FFFF-FFFF00000000}"/>
  </bookViews>
  <sheets>
    <sheet name="FRD to STTM" sheetId="1" r:id="rId1"/>
  </sheets>
  <definedNames>
    <definedName name="_xlnm._FilterDatabase" localSheetId="0" hidden="1">'FRD to STTM'!$A$1:$H$17</definedName>
  </definedNames>
  <calcPr calcId="181029"/>
</workbook>
</file>

<file path=xl/calcChain.xml><?xml version="1.0" encoding="utf-8"?>
<calcChain xmlns="http://schemas.openxmlformats.org/spreadsheetml/2006/main">
  <c r="G18" i="1" l="1"/>
  <c r="F18" i="1"/>
  <c r="F19" i="1" s="1"/>
  <c r="G19" i="1" l="1"/>
</calcChain>
</file>

<file path=xl/sharedStrings.xml><?xml version="1.0" encoding="utf-8"?>
<sst xmlns="http://schemas.openxmlformats.org/spreadsheetml/2006/main" count="113" uniqueCount="90">
  <si>
    <t>Box</t>
  </si>
  <si>
    <t>Step (derived — to validate with ACFC)</t>
  </si>
  <si>
    <t>What it means</t>
  </si>
  <si>
    <t>Delegate to agent?</t>
  </si>
  <si>
    <t>Why</t>
  </si>
  <si>
    <t>Estimate current hours to complete without agent</t>
  </si>
  <si>
    <t>Time to complete with agent (hours)</t>
  </si>
  <si>
    <t>Reason for estimate</t>
  </si>
  <si>
    <t>Input</t>
  </si>
  <si>
    <t>Approved FRD in SharePoint (signed off by Data Governance, Architects, Business Owners)</t>
  </si>
  <si>
    <t>The requirements document for the feed. Everything the mapping says about the feed comes from here.</t>
  </si>
  <si>
    <t>No</t>
  </si>
  <si>
    <t>People author and approve the FRD. The agent only confirms the approved document exists, and reads it.</t>
  </si>
  <si>
    <t>Authoring and getting three sign-offs is human work upstream of the agent. No effort removed.</t>
  </si>
  <si>
    <t>Vendor data dictionary (.xlsx) received for the feed</t>
  </si>
  <si>
    <t>Every source column the vendor will send: name, type, length, required, PHI, description.</t>
  </si>
  <si>
    <t>Requesting and chasing a vendor document is human. Without a dictionary the agent refuses to run — a missing or empty dictionary is a blocker, never a guess.</t>
  </si>
  <si>
    <t>Emails and follow-up with the vendor are unchanged. The gain is timing, not hours: the agent declares the dictionary missing or unusable before mapping starts instead of halfway through. No hours claimed.</t>
  </si>
  <si>
    <t>Confirm the FRD and the dictionary describe the same feed</t>
  </si>
  <si>
    <t>Pair the two documents before any mapping is written.</t>
  </si>
  <si>
    <t>Partly</t>
  </si>
  <si>
    <t>The agent pairs on an exact name key (FRD_&lt;x&gt; to VDD_&lt;x&gt;), or the reviewer declares the pair by uploading both files together. It never pairs by similarity — a wrongly paired dictionary would put another vendor's columns on this source.</t>
  </si>
  <si>
    <t>Today: open both files and eyeball that they match. Agent: name-key match, or the reviewer states the pair in one upload; an undecidable pairing becomes a question rather than an assumption.</t>
  </si>
  <si>
    <t>Assessment</t>
  </si>
  <si>
    <t>Extract the feed-level facts from the FRD prose (file pattern, format, delimiter, frequency, landing path, target tables, load strategy, recycle rule)</t>
  </si>
  <si>
    <t>The facts that describe the feed as a whole rather than a single column.</t>
  </si>
  <si>
    <t>Yes</t>
  </si>
  <si>
    <t>This is the one place a model is needed — the facts sit in prose, not in a table. Every identifier it returns must appear word-for-word in the FRD, or it becomes a question for the reviewer instead of a value in the workbook.</t>
  </si>
  <si>
    <t>Today: read the FRD end to end and transcribe the facts by hand. Agent: one model call plus a verbatim grounding check; human reads the extracted facts against the document (~30 min).</t>
  </si>
  <si>
    <t>Read the FRD's Structural Metadata table (Target Schema, Target Table Name, Load Strategy, ADLS Location, Source Data Dictionary) and check the template is complete</t>
  </si>
  <si>
    <t>The fixed rows of the FRD template that state the target side outright.</t>
  </si>
  <si>
    <t>It is a table, so it is read exactly, the way the dictionary is — no model involved. It serves twice: a missing row is a question or a blocker before any model call, and the table is a second reading beside the prose, so a disagreement (table says stg_mbr, prose says stg_member) becomes a question.</t>
  </si>
  <si>
    <t>Today: check the template rows are filled, and reconcile them against the prose by hand. Agent: deterministic read and comparison. Build status: top item on the post-demo list, not yet in the agent as of 2026-09-14.</t>
  </si>
  <si>
    <t>Transcribe the vendor dictionary into one mapping row per source column</t>
  </si>
  <si>
    <t>The body of the STTM — often two to three hundred rows for one feed.</t>
  </si>
  <si>
    <t>Ordinary code reading a spreadsheet. Nothing is interpreted: name, type, length, required, PHI, description, allowed values, sample and segment are carried as the vendor wrote them.</t>
  </si>
  <si>
    <t>Largest manual task on this side: hundreds of columns copied across by hand, with the transcription errors that come with it. Agent parses the workbook; human spot-checks a sample against the dictionary.</t>
  </si>
  <si>
    <t>Establish what the two documents do not settle, and list it</t>
  </si>
  <si>
    <t>The gaps: no target schema, no delimiter named, a rule that could attach to more than one source, a dictionary that cannot be paired.</t>
  </si>
  <si>
    <t>Yes, with review</t>
  </si>
  <si>
    <t>A question is raised only when different answers would write a different workbook and neither document settles it. Each question carries its options, so the reviewer chooses rather than investigates.</t>
  </si>
  <si>
    <t>Today the gaps surface late — in review, or in a mail thread days later. Agent produces the list up front with options; human reads it (~1h). The answering itself is the next line.</t>
  </si>
  <si>
    <t>Resolve the open questions with the BSA, the vendor and Data Governance</t>
  </si>
  <si>
    <t>Someone has to decide what the documents left unsaid.</t>
  </si>
  <si>
    <t>These are decisions with an owner, not derivations. The agent records the answers; it never makes a second model call to invent one.</t>
  </si>
  <si>
    <t>Waiting on people is unchanged. The agent shortens the question, not the conversation. No hours claimed.</t>
  </si>
  <si>
    <t>Mapping</t>
  </si>
  <si>
    <t>Write the target side per layer: catalog, schema and table for stage and standard</t>
  </si>
  <si>
    <t>Where the data lands once ingested.</t>
  </si>
  <si>
    <t>The FRD wins where it states a target; ACFC's naming standard fills what the FRD leaves silent; anything neither supplies is a question. The standards ship with the agent as config, not as model knowledge.</t>
  </si>
  <si>
    <t>Today: look up the naming standard per layer and per environment, then type each target. Agent derives them from the FRD plus the standards; human confirms the derived names (~1h).</t>
  </si>
  <si>
    <t>Fill the target columns and types per layer, and add the framework's audit columns</t>
  </si>
  <si>
    <t>The right-hand side of every mapping row.</t>
  </si>
  <si>
    <t>Target column names are carried from the source name as-is — neither standard states a column naming rule, so nothing is invented. Stage is all-STRING, standard types are promoted per the coding standard, audit columns come from the standards per segment.</t>
  </si>
  <si>
    <t>Today: type promotion and audit columns applied by hand down hundreds of rows across two layers. Agent applies the fixed rules; human reviews the type promotion once, not per row.</t>
  </si>
  <si>
    <t>Place the FRD's transformation, validation and recycle rules on the columns they name</t>
  </si>
  <si>
    <t>The rule text that belongs to a specific column rather than to the feed.</t>
  </si>
  <si>
    <t>A rule lands on the row whose column it names. A rule naming a column that several sources share, which the FRD does not attribute, becomes an attribution question rather than being copied onto all of them.</t>
  </si>
  <si>
    <t>Today: read each rule, decide which column and which source it belongs to, paste it in. Agent places what is unambiguous and asks about the rest; human checks the placement of every rule (~1.5h), because a misplaced rule is a wrong pipeline.</t>
  </si>
  <si>
    <t>Carry the PHI / sensitive classification for every column</t>
  </si>
  <si>
    <t>Which columns are protected health information.</t>
  </si>
  <si>
    <t>Carried exactly as the dictionary flags it. Where the dictionary is silent the cell is a question for Data Governance — the agent will not classify PHI itself.</t>
  </si>
  <si>
    <t>Transcription is removed; the judgement on unflagged columns stays with Data Governance and is not discounted.</t>
  </si>
  <si>
    <t>Workbook</t>
  </si>
  <si>
    <t>Build the workbook in ACFC's STTM layout — sheets, band labels, headers, styles</t>
  </si>
  <si>
    <t>The deliverable as the client expects to receive it.</t>
  </si>
  <si>
    <t>Deterministic rendering. Layout is taken from an approved STTM of another feed, or the built-in layout; a run never opens this feed's own approved STTM, for anything.</t>
  </si>
  <si>
    <t>Today: start from a previous workbook, restyle, re-band, fix headers. Agent renders the layout and the rows in one step; human opens the file and looks at it.</t>
  </si>
  <si>
    <t>Apply the reviewer's answers and re-render</t>
  </si>
  <si>
    <t>Fold the resolved questions back into the workbook.</t>
  </si>
  <si>
    <t>The answers are recorded on the run and folded in at render time — no second model call. The same documents and the same answers re-render the same workbook.</t>
  </si>
  <si>
    <t>Today: hand-edit the workbook, then keep the edits straight across revisions. Agent re-renders from the recorded answers; human downloads the new file.</t>
  </si>
  <si>
    <t>Review &amp; Sign-off</t>
  </si>
  <si>
    <t>STTM review by Data Governance, Architects and Business Owners</t>
  </si>
  <si>
    <t>The gate. Nothing goes to the CodeGen agent unapproved.</t>
  </si>
  <si>
    <t>The agent validates its own output (every dictionary column appears exactly once, every identifier is grounded in the FRD, every target resolves) and reports which document each cell came from. Client reviewers still do the real review.</t>
  </si>
  <si>
    <t>Review time does not shrink because an agent wrote the draft, and may grow until trust is built. The per-run report — what was derived, from which document, what was asked, what was flagged — makes review targeted rather than line-by-line, saving ~1.5h.</t>
  </si>
  <si>
    <t>Collect the sign-offs and upload the approved STTM to SharePoint, where the CodeGen agent picks it up</t>
  </si>
  <si>
    <t>The approved mapping becomes the next agent's input.</t>
  </si>
  <si>
    <t>The approved workbook is published by a named person. The agent prepares the package and stops; an approval is never fired by an agent.</t>
  </si>
  <si>
    <t>Three sign-offs and the upload are unchanged. No hours claimed.</t>
  </si>
  <si>
    <t>Total (per feed)</t>
  </si>
  <si>
    <t>Total hours / hours saved / % reduction:</t>
  </si>
  <si>
    <t>Lines marked 'No' carry identical hours by design: no agent saving is claimed there.</t>
  </si>
  <si>
    <t>Summary</t>
  </si>
  <si>
    <t>The agent can produce almost all of the workbook's content — the dictionary rows, the feed facts, the target side from the FRD and ACFC's standards, the rule placement, and the list of what the documents do not settle. People keep the steps that need an accountable owner: approving the FRD, chasing the vendor, deciding what the documents left unsaid, classifying unflagged PHI, reviewing the mapping and publishing the approved workbook. Savings concentrate in dictionary transcription, target derivation, rule placement and rendering; review, sign-off and waiting on people are not reduced.</t>
  </si>
  <si>
    <t>Step list: derived from the agent's architecture and normal STTM authoring practice — NOT taken from an ACFC slide, unlike the STTM-to-Artefacts sheet. To be validated with ACFC (Satish / Raj) before it is presented as their process.</t>
  </si>
  <si>
    <t>Assumptions: hours are hands-on analyst/developer effort per feed (typical single-source feed, ~2 target tables, a few hundred source columns), not calendar time waiting on vendors or approvals. Blue cells are estimates from Arjun/Claude, not measured; replace with ACFC's actuals.</t>
  </si>
  <si>
    <t>'With agent' hours = human time to review, correct, answer or approve what the agent produced. Agent runtime and model cost are excluded.</t>
  </si>
  <si>
    <t>The FRD Structural Metadata line is the top item on the post-demo build list, not yet implemented as of 2026-09-14. Every other 'Yes' line is built and demonstrable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</si>
</sst>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sz val="10"/>
      <name val="Calibri"/>
    </font>
    <font>
      <b/>
      <sz val="10"/>
      <name val="Calibri"/>
    </font>
    <font>
      <sz val="10"/>
      <color rgb="FF0000FF"/>
      <name val="Calibri"/>
    </font>
    <font>
      <sz val="9"/>
      <color rgb="FF666666"/>
      <name val="Calibri"/>
    </font>
  </fonts>
  <fills count="6">
    <fill>
      <patternFill patternType="none"/>
    </fill>
    <fill>
      <patternFill patternType="gray125"/>
    </fill>
    <fill>
      <patternFill patternType="solid">
        <fgColor rgb="FF1F4E79"/>
      </patternFill>
    </fill>
    <fill>
      <patternFill patternType="solid">
        <fgColor rgb="FFF8CBAD"/>
      </patternFill>
    </fill>
    <fill>
      <patternFill patternType="solid">
        <fgColor rgb="FFFFF2CC"/>
      </patternFill>
    </fill>
    <fill>
      <patternFill patternType="solid">
        <fgColor rgb="FFE2EFDA"/>
      </patternFill>
    </fill>
  </fills>
  <borders count="2">
    <border>
      <left/>
      <right/>
      <top/>
      <bottom/>
      <diagonal/>
    </border>
    <border>
      <left/>
      <right/>
      <top/>
      <bottom style="thin">
        <color auto="1"/>
      </bottom>
      <diagonal/>
    </border>
  </borders>
  <cellStyleXfs count="1">
    <xf numFmtId="0" fontId="0" fillId="0" borderId="0"/>
  </cellStyleXfs>
  <cellXfs count="16">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3" borderId="1" xfId="0" applyFont="1" applyFill="1" applyBorder="1" applyAlignment="1">
      <alignment vertical="top" wrapText="1"/>
    </xf>
    <xf numFmtId="2" fontId="4" fillId="0" borderId="1" xfId="0" applyNumberFormat="1" applyFont="1" applyBorder="1" applyAlignment="1">
      <alignment horizontal="center" vertical="top"/>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0" borderId="0" xfId="0" applyFont="1"/>
    <xf numFmtId="0" fontId="3" fillId="0" borderId="1" xfId="0" applyFont="1" applyBorder="1"/>
    <xf numFmtId="2" fontId="3" fillId="0" borderId="1" xfId="0" applyNumberFormat="1" applyFont="1" applyBorder="1" applyAlignment="1">
      <alignment horizontal="center"/>
    </xf>
    <xf numFmtId="2" fontId="3" fillId="0" borderId="0" xfId="0" applyNumberFormat="1" applyFont="1" applyAlignment="1">
      <alignment horizontal="center"/>
    </xf>
    <xf numFmtId="9" fontId="3" fillId="0" borderId="0" xfId="0" applyNumberFormat="1" applyFont="1" applyAlignment="1">
      <alignment horizontal="center"/>
    </xf>
    <xf numFmtId="0" fontId="2" fillId="0" borderId="0" xfId="0" applyFont="1" applyAlignment="1">
      <alignment vertical="top" wrapText="1"/>
    </xf>
    <xf numFmtId="0" fontId="5" fillId="0" borderId="0" xfId="0" applyFont="1" applyAlignment="1">
      <alignment vertical="top" wrapText="1"/>
    </xf>
    <xf numFmtId="0" fontId="0" fillId="0" borderId="0" xfId="0"/>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workbookViewId="0">
      <pane ySplit="1" topLeftCell="A2" activePane="bottomLeft" state="frozen"/>
      <selection pane="bottomLeft"/>
    </sheetView>
  </sheetViews>
  <sheetFormatPr defaultRowHeight="14.5" x14ac:dyDescent="0.35"/>
  <cols>
    <col min="1" max="1" width="20" customWidth="1"/>
    <col min="2" max="2" width="44" customWidth="1"/>
    <col min="3" max="3" width="34" customWidth="1"/>
    <col min="4" max="4" width="16" customWidth="1"/>
    <col min="5" max="5" width="54" customWidth="1"/>
    <col min="6" max="7" width="15" customWidth="1"/>
    <col min="8" max="8" width="60" customWidth="1"/>
  </cols>
  <sheetData>
    <row r="1" spans="1:8" ht="58" x14ac:dyDescent="0.35">
      <c r="A1" s="1" t="s">
        <v>0</v>
      </c>
      <c r="B1" s="1" t="s">
        <v>1</v>
      </c>
      <c r="C1" s="1" t="s">
        <v>2</v>
      </c>
      <c r="D1" s="1" t="s">
        <v>3</v>
      </c>
      <c r="E1" s="1" t="s">
        <v>4</v>
      </c>
      <c r="F1" s="1" t="s">
        <v>5</v>
      </c>
      <c r="G1" s="1" t="s">
        <v>6</v>
      </c>
      <c r="H1" s="1" t="s">
        <v>7</v>
      </c>
    </row>
    <row r="2" spans="1:8" ht="39" x14ac:dyDescent="0.35">
      <c r="A2" s="2" t="s">
        <v>8</v>
      </c>
      <c r="B2" s="2" t="s">
        <v>9</v>
      </c>
      <c r="C2" s="2" t="s">
        <v>10</v>
      </c>
      <c r="D2" s="3" t="s">
        <v>11</v>
      </c>
      <c r="E2" s="2" t="s">
        <v>12</v>
      </c>
      <c r="F2" s="4">
        <v>1</v>
      </c>
      <c r="G2" s="4">
        <v>1</v>
      </c>
      <c r="H2" s="2" t="s">
        <v>13</v>
      </c>
    </row>
    <row r="3" spans="1:8" ht="39" x14ac:dyDescent="0.35">
      <c r="A3" s="2" t="s">
        <v>8</v>
      </c>
      <c r="B3" s="2" t="s">
        <v>14</v>
      </c>
      <c r="C3" s="2" t="s">
        <v>15</v>
      </c>
      <c r="D3" s="3" t="s">
        <v>11</v>
      </c>
      <c r="E3" s="2" t="s">
        <v>16</v>
      </c>
      <c r="F3" s="4">
        <v>2</v>
      </c>
      <c r="G3" s="4">
        <v>2</v>
      </c>
      <c r="H3" s="2" t="s">
        <v>17</v>
      </c>
    </row>
    <row r="4" spans="1:8" ht="52" x14ac:dyDescent="0.35">
      <c r="A4" s="2" t="s">
        <v>8</v>
      </c>
      <c r="B4" s="2" t="s">
        <v>18</v>
      </c>
      <c r="C4" s="2" t="s">
        <v>19</v>
      </c>
      <c r="D4" s="5" t="s">
        <v>20</v>
      </c>
      <c r="E4" s="2" t="s">
        <v>21</v>
      </c>
      <c r="F4" s="4">
        <v>1</v>
      </c>
      <c r="G4" s="4">
        <v>0.25</v>
      </c>
      <c r="H4" s="2" t="s">
        <v>22</v>
      </c>
    </row>
    <row r="5" spans="1:8" ht="52" x14ac:dyDescent="0.35">
      <c r="A5" s="2" t="s">
        <v>23</v>
      </c>
      <c r="B5" s="2" t="s">
        <v>24</v>
      </c>
      <c r="C5" s="2" t="s">
        <v>25</v>
      </c>
      <c r="D5" s="6" t="s">
        <v>26</v>
      </c>
      <c r="E5" s="2" t="s">
        <v>27</v>
      </c>
      <c r="F5" s="4">
        <v>3</v>
      </c>
      <c r="G5" s="4">
        <v>0.5</v>
      </c>
      <c r="H5" s="2" t="s">
        <v>28</v>
      </c>
    </row>
    <row r="6" spans="1:8" ht="65" x14ac:dyDescent="0.35">
      <c r="A6" s="2" t="s">
        <v>23</v>
      </c>
      <c r="B6" s="2" t="s">
        <v>29</v>
      </c>
      <c r="C6" s="2" t="s">
        <v>30</v>
      </c>
      <c r="D6" s="6" t="s">
        <v>26</v>
      </c>
      <c r="E6" s="2" t="s">
        <v>31</v>
      </c>
      <c r="F6" s="4">
        <v>1</v>
      </c>
      <c r="G6" s="4">
        <v>0.25</v>
      </c>
      <c r="H6" s="2" t="s">
        <v>32</v>
      </c>
    </row>
    <row r="7" spans="1:8" ht="39" x14ac:dyDescent="0.35">
      <c r="A7" s="2" t="s">
        <v>23</v>
      </c>
      <c r="B7" s="2" t="s">
        <v>33</v>
      </c>
      <c r="C7" s="2" t="s">
        <v>34</v>
      </c>
      <c r="D7" s="6" t="s">
        <v>26</v>
      </c>
      <c r="E7" s="2" t="s">
        <v>35</v>
      </c>
      <c r="F7" s="4">
        <v>8</v>
      </c>
      <c r="G7" s="4">
        <v>0.5</v>
      </c>
      <c r="H7" s="2" t="s">
        <v>36</v>
      </c>
    </row>
    <row r="8" spans="1:8" ht="52" x14ac:dyDescent="0.35">
      <c r="A8" s="2" t="s">
        <v>23</v>
      </c>
      <c r="B8" s="2" t="s">
        <v>37</v>
      </c>
      <c r="C8" s="2" t="s">
        <v>38</v>
      </c>
      <c r="D8" s="6" t="s">
        <v>39</v>
      </c>
      <c r="E8" s="2" t="s">
        <v>40</v>
      </c>
      <c r="F8" s="4">
        <v>5</v>
      </c>
      <c r="G8" s="4">
        <v>1</v>
      </c>
      <c r="H8" s="2" t="s">
        <v>41</v>
      </c>
    </row>
    <row r="9" spans="1:8" ht="39" x14ac:dyDescent="0.35">
      <c r="A9" s="2" t="s">
        <v>23</v>
      </c>
      <c r="B9" s="2" t="s">
        <v>42</v>
      </c>
      <c r="C9" s="2" t="s">
        <v>43</v>
      </c>
      <c r="D9" s="3" t="s">
        <v>11</v>
      </c>
      <c r="E9" s="2" t="s">
        <v>44</v>
      </c>
      <c r="F9" s="4">
        <v>4</v>
      </c>
      <c r="G9" s="4">
        <v>4</v>
      </c>
      <c r="H9" s="2" t="s">
        <v>45</v>
      </c>
    </row>
    <row r="10" spans="1:8" ht="52" x14ac:dyDescent="0.35">
      <c r="A10" s="2" t="s">
        <v>46</v>
      </c>
      <c r="B10" s="2" t="s">
        <v>47</v>
      </c>
      <c r="C10" s="2" t="s">
        <v>48</v>
      </c>
      <c r="D10" s="6" t="s">
        <v>39</v>
      </c>
      <c r="E10" s="2" t="s">
        <v>49</v>
      </c>
      <c r="F10" s="4">
        <v>4</v>
      </c>
      <c r="G10" s="4">
        <v>1</v>
      </c>
      <c r="H10" s="2" t="s">
        <v>50</v>
      </c>
    </row>
    <row r="11" spans="1:8" ht="65" x14ac:dyDescent="0.35">
      <c r="A11" s="2" t="s">
        <v>46</v>
      </c>
      <c r="B11" s="2" t="s">
        <v>51</v>
      </c>
      <c r="C11" s="2" t="s">
        <v>52</v>
      </c>
      <c r="D11" s="6" t="s">
        <v>26</v>
      </c>
      <c r="E11" s="2" t="s">
        <v>53</v>
      </c>
      <c r="F11" s="4">
        <v>6</v>
      </c>
      <c r="G11" s="4">
        <v>0.75</v>
      </c>
      <c r="H11" s="2" t="s">
        <v>54</v>
      </c>
    </row>
    <row r="12" spans="1:8" ht="52" x14ac:dyDescent="0.35">
      <c r="A12" s="2" t="s">
        <v>46</v>
      </c>
      <c r="B12" s="2" t="s">
        <v>55</v>
      </c>
      <c r="C12" s="2" t="s">
        <v>56</v>
      </c>
      <c r="D12" s="6" t="s">
        <v>39</v>
      </c>
      <c r="E12" s="2" t="s">
        <v>57</v>
      </c>
      <c r="F12" s="4">
        <v>4</v>
      </c>
      <c r="G12" s="4">
        <v>1.5</v>
      </c>
      <c r="H12" s="2" t="s">
        <v>58</v>
      </c>
    </row>
    <row r="13" spans="1:8" ht="39" x14ac:dyDescent="0.35">
      <c r="A13" s="2" t="s">
        <v>46</v>
      </c>
      <c r="B13" s="2" t="s">
        <v>59</v>
      </c>
      <c r="C13" s="2" t="s">
        <v>60</v>
      </c>
      <c r="D13" s="5" t="s">
        <v>20</v>
      </c>
      <c r="E13" s="2" t="s">
        <v>61</v>
      </c>
      <c r="F13" s="4">
        <v>2</v>
      </c>
      <c r="G13" s="4">
        <v>1</v>
      </c>
      <c r="H13" s="2" t="s">
        <v>62</v>
      </c>
    </row>
    <row r="14" spans="1:8" ht="39" x14ac:dyDescent="0.35">
      <c r="A14" s="2" t="s">
        <v>63</v>
      </c>
      <c r="B14" s="2" t="s">
        <v>64</v>
      </c>
      <c r="C14" s="2" t="s">
        <v>65</v>
      </c>
      <c r="D14" s="6" t="s">
        <v>26</v>
      </c>
      <c r="E14" s="2" t="s">
        <v>66</v>
      </c>
      <c r="F14" s="4">
        <v>6</v>
      </c>
      <c r="G14" s="4">
        <v>0.5</v>
      </c>
      <c r="H14" s="2" t="s">
        <v>67</v>
      </c>
    </row>
    <row r="15" spans="1:8" ht="39" x14ac:dyDescent="0.35">
      <c r="A15" s="2" t="s">
        <v>63</v>
      </c>
      <c r="B15" s="2" t="s">
        <v>68</v>
      </c>
      <c r="C15" s="2" t="s">
        <v>69</v>
      </c>
      <c r="D15" s="6" t="s">
        <v>26</v>
      </c>
      <c r="E15" s="2" t="s">
        <v>70</v>
      </c>
      <c r="F15" s="4">
        <v>2</v>
      </c>
      <c r="G15" s="4">
        <v>0.5</v>
      </c>
      <c r="H15" s="2" t="s">
        <v>71</v>
      </c>
    </row>
    <row r="16" spans="1:8" ht="52" x14ac:dyDescent="0.35">
      <c r="A16" s="2" t="s">
        <v>72</v>
      </c>
      <c r="B16" s="2" t="s">
        <v>73</v>
      </c>
      <c r="C16" s="2" t="s">
        <v>74</v>
      </c>
      <c r="D16" s="5" t="s">
        <v>20</v>
      </c>
      <c r="E16" s="2" t="s">
        <v>75</v>
      </c>
      <c r="F16" s="4">
        <v>8</v>
      </c>
      <c r="G16" s="4">
        <v>6.5</v>
      </c>
      <c r="H16" s="2" t="s">
        <v>76</v>
      </c>
    </row>
    <row r="17" spans="1:8" ht="39" x14ac:dyDescent="0.35">
      <c r="A17" s="2" t="s">
        <v>72</v>
      </c>
      <c r="B17" s="2" t="s">
        <v>77</v>
      </c>
      <c r="C17" s="2" t="s">
        <v>78</v>
      </c>
      <c r="D17" s="3" t="s">
        <v>11</v>
      </c>
      <c r="E17" s="2" t="s">
        <v>79</v>
      </c>
      <c r="F17" s="4">
        <v>3</v>
      </c>
      <c r="G17" s="4">
        <v>3</v>
      </c>
      <c r="H17" s="2" t="s">
        <v>80</v>
      </c>
    </row>
    <row r="18" spans="1:8" x14ac:dyDescent="0.35">
      <c r="A18" s="7" t="s">
        <v>81</v>
      </c>
      <c r="E18" s="8" t="s">
        <v>82</v>
      </c>
      <c r="F18" s="9">
        <f>SUM(F2:F17)</f>
        <v>60</v>
      </c>
      <c r="G18" s="9">
        <f>SUM(G2:G17)</f>
        <v>24.25</v>
      </c>
    </row>
    <row r="19" spans="1:8" ht="26" x14ac:dyDescent="0.35">
      <c r="F19" s="10">
        <f>F18-G18</f>
        <v>35.75</v>
      </c>
      <c r="G19" s="11">
        <f>IF(F18=0,0,(F18-G18)/F18)</f>
        <v>0.59583333333333333</v>
      </c>
      <c r="H19" s="12" t="s">
        <v>83</v>
      </c>
    </row>
    <row r="20" spans="1:8" ht="15" customHeight="1" x14ac:dyDescent="0.35"/>
    <row r="21" spans="1:8" ht="17.649999999999999" customHeight="1" x14ac:dyDescent="0.35">
      <c r="A21" s="7" t="s">
        <v>84</v>
      </c>
    </row>
    <row r="22" spans="1:8" ht="45" customHeight="1" x14ac:dyDescent="0.35">
      <c r="A22" s="15" t="s">
        <v>85</v>
      </c>
      <c r="B22" s="14"/>
      <c r="C22" s="14"/>
      <c r="D22" s="14"/>
      <c r="E22" s="14"/>
      <c r="F22" s="14"/>
      <c r="G22" s="14"/>
      <c r="H22" s="14"/>
    </row>
    <row r="23" spans="1:8" ht="27.75" customHeight="1" x14ac:dyDescent="0.35">
      <c r="A23" s="13" t="s">
        <v>86</v>
      </c>
      <c r="B23" s="14"/>
      <c r="C23" s="14"/>
      <c r="D23" s="14"/>
      <c r="E23" s="14"/>
      <c r="F23" s="14"/>
      <c r="G23" s="14"/>
      <c r="H23" s="14"/>
    </row>
    <row r="24" spans="1:8" ht="27.75" customHeight="1" x14ac:dyDescent="0.35">
      <c r="A24" s="13" t="s">
        <v>87</v>
      </c>
      <c r="B24" s="14"/>
      <c r="C24" s="14"/>
      <c r="D24" s="14"/>
      <c r="E24" s="14"/>
      <c r="F24" s="14"/>
      <c r="G24" s="14"/>
      <c r="H24" s="14"/>
    </row>
    <row r="25" spans="1:8" ht="27.75" customHeight="1" x14ac:dyDescent="0.35">
      <c r="A25" s="13" t="s">
        <v>88</v>
      </c>
      <c r="B25" s="14"/>
      <c r="C25" s="14"/>
      <c r="D25" s="14"/>
      <c r="E25" s="14"/>
      <c r="F25" s="14"/>
      <c r="G25" s="14"/>
      <c r="H25" s="14"/>
    </row>
    <row r="26" spans="1:8" ht="27.75" customHeight="1" x14ac:dyDescent="0.35">
      <c r="A26" s="13" t="s">
        <v>89</v>
      </c>
      <c r="B26" s="14"/>
      <c r="C26" s="14"/>
      <c r="D26" s="14"/>
      <c r="E26" s="14"/>
      <c r="F26" s="14"/>
      <c r="G26" s="14"/>
      <c r="H26" s="14"/>
    </row>
  </sheetData>
  <autoFilter ref="A1:H17" xr:uid="{00000000-0009-0000-0000-000000000000}"/>
  <mergeCells count="5">
    <mergeCell ref="A26:H26"/>
    <mergeCell ref="A25:H25"/>
    <mergeCell ref="A24:H24"/>
    <mergeCell ref="A23:H23"/>
    <mergeCell ref="A22:H22"/>
  </mergeCells>
  <pageMargins left="0.75" right="0.75" top="1" bottom="1" header="0.5" footer="0.5"/>
  <pageSetup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FRD to STTM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Arjun Pillai</cp:lastModifiedBy>
  <cp:lastPrinted>2026-09-15T13:15:31Z</cp:lastPrinted>
  <dcterms:created xsi:type="dcterms:W3CDTF">2026-09-14T13:59:58Z</dcterms:created>
  <dcterms:modified xsi:type="dcterms:W3CDTF">2026-09-15T13:16:12Z</dcterms:modified>
</cp:coreProperties>
</file>