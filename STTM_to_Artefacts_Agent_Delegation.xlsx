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TM to Artefacts" sheetId="1" state="visible" r:id="rId3"/>
  </sheets>
  <definedNames>
    <definedName function="false" hidden="true" localSheetId="0" name="_xlnm._FilterDatabase" vbProcedure="false">'STTM to Artefacts'!$A$1:$H$16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<sst xmlns="http://schemas.openxmlformats.org/spreadsheetml/2006/main" count="106" uniqueCount="88">
  <si>
    <t xml:space="preserve">Box</t>
  </si>
  <si>
    <t xml:space="preserve">Line on slide</t>
  </si>
  <si>
    <t xml:space="preserve">What it means</t>
  </si>
  <si>
    <t xml:space="preserve">Delegate to agent?</t>
  </si>
  <si>
    <t xml:space="preserve">Why</t>
  </si>
  <si>
    <t xml:space="preserve">Estimate current hours to complete without agent</t>
  </si>
  <si>
    <t xml:space="preserve">Time to complete with agent (hours)</t>
  </si>
  <si>
    <t xml:space="preserve">Reason for estimate</t>
  </si>
  <si>
    <t xml:space="preserve">Input</t>
  </si>
  <si>
    <t xml:space="preserve">Approved STTM, FRD (signed off by Data Governance, Architects, Business Owners)</t>
  </si>
  <si>
    <t xml:space="preserve">The signed-off mapping document. Source of truth for every artefact below.</t>
  </si>
  <si>
    <t xml:space="preserve">No</t>
  </si>
  <si>
    <t xml:space="preserve">Humans approve it. The agent should only verify the approval exists before it starts.</t>
  </si>
  <si>
    <t xml:space="preserve">Getting and confirming three sign-offs is human coordination; the agent only checks the approval flag. No effort removed.</t>
  </si>
  <si>
    <t xml:space="preserve">Assessment</t>
  </si>
  <si>
    <t xml:space="preserve">Check for existing Pipeline or Workflow &amp; IIG configuration</t>
  </si>
  <si>
    <t xml:space="preserve">Is this source already being ingested by the framework?</t>
  </si>
  <si>
    <t xml:space="preserve">Yes</t>
  </si>
  <si>
    <t xml:space="preserve">Read-only lookup in the IIG metadata database and the workspace. Nothing is changed.</t>
  </si>
  <si>
    <t xml:space="preserve">Today: query the IIG DB, open Workflows, cross-check by hand. Agent runs the same lookups; human glances at the result.</t>
  </si>
  <si>
    <t xml:space="preserve">Check for tables in Unity Catalog</t>
  </si>
  <si>
    <t xml:space="preserve">Do the target tables already exist?</t>
  </si>
  <si>
    <t xml:space="preserve">Catalog query, read-only.</t>
  </si>
  <si>
    <t xml:space="preserve">Today: browse Unity Catalog per table/env. Agent: one catalog query; human confirms.</t>
  </si>
  <si>
    <t xml:space="preserve">Identify pipeline IDs that need to be assigned for new configuration</t>
  </si>
  <si>
    <t xml:space="preserve">Pick the IDs the framework uses to find this feed (pipeline &gt; group &gt; object).</t>
  </si>
  <si>
    <t xml:space="preserve">Partly</t>
  </si>
  <si>
    <t xml:space="preserve">Agent proposes the next free IDs from the metadata DB; framework owner confirms, because allocation rules are not always visible in the data.</t>
  </si>
  <si>
    <t xml:space="preserve">Today: find the last used IDs and pick the next. Agent proposes them; framework owner confirms in minutes.</t>
  </si>
  <si>
    <t xml:space="preserve">Create Tidal form for new workflows</t>
  </si>
  <si>
    <t xml:space="preserve">Scheduler request so the job runs in PROD.</t>
  </si>
  <si>
    <t xml:space="preserve">Draft only</t>
  </si>
  <si>
    <t xml:space="preserve">Every field (job name, frequency, dependencies) derives from the FRD. A person submits, since it is a request to another team with a name on it.</t>
  </si>
  <si>
    <t xml:space="preserve">Most of the time is filling fields already in the FRD (name, frequency, dependencies). Agent pre-fills; human checks and submits.</t>
  </si>
  <si>
    <t xml:space="preserve">Create Repo requests for new Applications. Create RFCs</t>
  </si>
  <si>
    <t xml:space="preserve">Where the code lives, and the change record PROD deployment is audited against.</t>
  </si>
  <si>
    <t xml:space="preserve">Agent drafts scope, tables, rollback plan from the STTM. A person owns and submits the RFC.</t>
  </si>
  <si>
    <t xml:space="preserve">RFC writing (scope, tables, rollback) is the bulk. Agent drafts from the STTM; human edits, owns and submits.</t>
  </si>
  <si>
    <t xml:space="preserve">Submit SFG requests and SRs for folder creation in PROD</t>
  </si>
  <si>
    <t xml:space="preserve">Create the landing folder before the first file arrives.</t>
  </si>
  <si>
    <t xml:space="preserve">Path derives from the FRD ADLS Location. The ticket goes through its own approval process.</t>
  </si>
  <si>
    <t xml:space="preserve">Path is trivial to derive; the effort is the ticket portal and follow-up, which stays manual. Small saving only.</t>
  </si>
  <si>
    <t xml:space="preserve">Submit SPN / Entra access requests for new Applications</t>
  </si>
  <si>
    <t xml:space="preserve">Service principal permissions for the new application and catalog access.</t>
  </si>
  <si>
    <t xml:space="preserve">Agent lists which SPNs and grants are needed and stops. Access is never fired by an agent on its own.</t>
  </si>
  <si>
    <t xml:space="preserve">Access requests are portal work plus waiting on approvers. Agent listing the required grants saves negligible time. No effort removed.</t>
  </si>
  <si>
    <t xml:space="preserve">DDL scripts</t>
  </si>
  <si>
    <t xml:space="preserve">Create DDL scripts for Stage and Standard layers for Dev, QA and PROD through DDL workflow</t>
  </si>
  <si>
    <t xml:space="preserve">The table definitions for both layers in every environment.</t>
  </si>
  <si>
    <t xml:space="preserve">Columns and types come from the STTM; layer rules are fixed (stage all-STRING + LOCATION, standard typed + CLUSTER BY AUTO, SET TAGS). Executing in each environment waits for approval.</t>
  </si>
  <si>
    <t xml:space="preserve">Two layers x three environments, typed by hand from the STTM today. Agent generates all six from the STTM and fixed conventions; human reviews the diff.</t>
  </si>
  <si>
    <t xml:space="preserve">IIG metadata sheet</t>
  </si>
  <si>
    <t xml:space="preserve">Create IIG metadata sheets (On-prem to ADLS, ADLS to Stage, Stage to Standard); entries inserted into IIG database</t>
  </si>
  <si>
    <t xml:space="preserve">The rows that tell the common notebook what to do. In this framework the sheet is the code.</t>
  </si>
  <si>
    <t xml:space="preserve">Yes, with review</t>
  </si>
  <si>
    <t xml:space="preserve">About 80% derives from FRD + STTM; the rest (SPNs, cluster IDs, reference values) is left blank and flagged. A person reviews the sheet, then the insert is automated.</t>
  </si>
  <si>
    <t xml:space="preserve">Largest manual task: seven tabs, same value re-entered under different names, file-layout details. Agent fills ~80%; human reviews the sheet and completes the flagged blanks (SPNs, cluster IDs, reference values).</t>
  </si>
  <si>
    <t xml:space="preserve">Workflow / ADF / DABs</t>
  </si>
  <si>
    <t xml:space="preserve">Create Master workflow via the Wrapper Framework, or Grandmaster ADF pipeline based on the source</t>
  </si>
  <si>
    <t xml:space="preserve">The job that actually runs the ingestion.</t>
  </si>
  <si>
    <t xml:space="preserve">Yes (Databricks) / No (ADF)</t>
  </si>
  <si>
    <t xml:space="preserve">Once IDs exist the Databricks workflow is a parameterised definition. ADF is out of scope for the agent for now.</t>
  </si>
  <si>
    <t xml:space="preserve">Databricks path: agent emits the workflow definition from the IDs (~1h review). ADF/Grandmaster path is out of scope, so it stays at ~6h. Estimate assumes a mix of sources.</t>
  </si>
  <si>
    <t xml:space="preserve">Create DABs (Databricks Asset Bundle) for code migration to Non-Prod and Prod</t>
  </si>
  <si>
    <t xml:space="preserve">The bundle that promotes the same code between environments.</t>
  </si>
  <si>
    <t xml:space="preserve">Agent builds the bundle with per-environment targets. A person runs the deploy.</t>
  </si>
  <si>
    <t xml:space="preserve">databricks.yml with per-environment targets is boilerplate; agent generates it, human runs the deploy command.</t>
  </si>
  <si>
    <t xml:space="preserve">Code Review &amp; Deployment</t>
  </si>
  <si>
    <t xml:space="preserve">Code Review of all above steps with Unit testing</t>
  </si>
  <si>
    <t xml:space="preserve">Catch what the agent got wrong or flagged.</t>
  </si>
  <si>
    <t xml:space="preserve">Agent validates its own output (every ID resolves, every STTM column appears once, tabs reconcile). Client engineers do the real review.</t>
  </si>
  <si>
    <t xml:space="preserve">Review time does not shrink because an agent wrote the code, and may grow until trust is built. Only the unit/validation tests (ID resolution, column coverage, tab reconciliation) are generated, saving ~2h.</t>
  </si>
  <si>
    <t xml:space="preserve">Create deployment documents, TDD, etc. and PROD KT with Production Support team</t>
  </si>
  <si>
    <t xml:space="preserve">How the support team learns what this pipeline is.</t>
  </si>
  <si>
    <t xml:space="preserve">Documents: yes, they mostly restate the STTM, IDs, paths and schedule. KT: no, it is a conversation with the people who get paged.</t>
  </si>
  <si>
    <t xml:space="preserve">Deployment docs/TDD (~5h today) mostly restate STTM, IDs, paths, schedule; agent drafts, human edits (~1.5h). PROD KT (~3h) is a meeting and stays the same.</t>
  </si>
  <si>
    <t xml:space="preserve">Code deployment after Architects, Data Governance, Production Support, SBD, PCE team approvals</t>
  </si>
  <si>
    <t xml:space="preserve">The final sign-off and PROD release.</t>
  </si>
  <si>
    <t xml:space="preserve">Agent prepares the approval package (what was derived, flagged, tested) so each approver is faster. It never holds the pen.</t>
  </si>
  <si>
    <t xml:space="preserve">Five approvals and the PROD release actions are unchanged. An approval package may help approvers read faster, but it does not reduce the deployer's hours.</t>
  </si>
  <si>
    <t xml:space="preserve">Total (per feed)</t>
  </si>
  <si>
    <t xml:space="preserve">Total hours / hours saved / % reduction:</t>
  </si>
  <si>
    <t xml:space="preserve">Lines marked 'No' carry identical hours by design: no agent saving is claimed there.</t>
  </si>
  <si>
    <t xml:space="preserve">Summary</t>
  </si>
  <si>
    <t xml:space="preserve">The agent can produce the content of most lines. People keep the steps that are irreversible or need an accountable owner: approvals, access, ID assignment, submitting tickets, and PROD deployment. Savings concentrate in DDL, the IIG metadata sheet, workflow/DAB generation and documentation; review, KT and approvals are not reduced.</t>
  </si>
  <si>
    <t xml:space="preserve">Assumptions: hours are hands-on developer effort per feed onboarding (typical single-source, ~2 target tables), not calendar time waiting on tickets or approvals. Blue cells are estimates from Soham/Claude, not measured; replace with ACFC's actuals.</t>
  </si>
  <si>
    <t xml:space="preserve">'With agent' hours = human time to review, correct, submit or approve what the agent produced. Agent runtime is excluded.</t>
  </si>
  <si>
    <t xml:space="preserve">Note: the SPN / Entra line is partially cut off on the source slide; wording reconstructed from the visible text.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</si>
</sst>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8CBAD"/>
        <bgColor rgb="FFFFF2CC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54"/>
    <col collapsed="false" customWidth="true" hidden="false" outlineLevel="0" max="7" min="6" style="0" width="18"/>
    <col collapsed="false" customWidth="true" hidden="false" outlineLevel="0" max="8" min="8" style="0" width="62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4" t="n">
        <v>1</v>
      </c>
      <c r="G2" s="4" t="n">
        <v>1</v>
      </c>
      <c r="H2" s="2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16</v>
      </c>
      <c r="D3" s="5" t="s">
        <v>17</v>
      </c>
      <c r="E3" s="2" t="s">
        <v>18</v>
      </c>
      <c r="F3" s="4" t="n">
        <v>2</v>
      </c>
      <c r="G3" s="4" t="n">
        <v>0.25</v>
      </c>
      <c r="H3" s="2" t="s">
        <v>19</v>
      </c>
    </row>
    <row r="4" customFormat="false" ht="23.85" hidden="false" customHeight="false" outlineLevel="0" collapsed="false">
      <c r="A4" s="2" t="s">
        <v>14</v>
      </c>
      <c r="B4" s="2" t="s">
        <v>20</v>
      </c>
      <c r="C4" s="2" t="s">
        <v>21</v>
      </c>
      <c r="D4" s="5" t="s">
        <v>17</v>
      </c>
      <c r="E4" s="2" t="s">
        <v>22</v>
      </c>
      <c r="F4" s="4" t="n">
        <v>1</v>
      </c>
      <c r="G4" s="4" t="n">
        <v>0.25</v>
      </c>
      <c r="H4" s="2" t="s">
        <v>23</v>
      </c>
    </row>
    <row r="5" customFormat="false" ht="35.05" hidden="false" customHeight="false" outlineLevel="0" collapsed="false">
      <c r="A5" s="2" t="s">
        <v>14</v>
      </c>
      <c r="B5" s="2" t="s">
        <v>24</v>
      </c>
      <c r="C5" s="2" t="s">
        <v>25</v>
      </c>
      <c r="D5" s="6" t="s">
        <v>26</v>
      </c>
      <c r="E5" s="2" t="s">
        <v>27</v>
      </c>
      <c r="F5" s="4" t="n">
        <v>1</v>
      </c>
      <c r="G5" s="4" t="n">
        <v>0.25</v>
      </c>
      <c r="H5" s="2" t="s">
        <v>28</v>
      </c>
    </row>
    <row r="6" customFormat="false" ht="35.05" hidden="false" customHeight="false" outlineLevel="0" collapsed="false">
      <c r="A6" s="2" t="s">
        <v>14</v>
      </c>
      <c r="B6" s="2" t="s">
        <v>29</v>
      </c>
      <c r="C6" s="2" t="s">
        <v>30</v>
      </c>
      <c r="D6" s="6" t="s">
        <v>31</v>
      </c>
      <c r="E6" s="2" t="s">
        <v>32</v>
      </c>
      <c r="F6" s="4" t="n">
        <v>2</v>
      </c>
      <c r="G6" s="4" t="n">
        <v>0.5</v>
      </c>
      <c r="H6" s="2" t="s">
        <v>33</v>
      </c>
    </row>
    <row r="7" customFormat="false" ht="35.05" hidden="false" customHeight="false" outlineLevel="0" collapsed="false">
      <c r="A7" s="2" t="s">
        <v>14</v>
      </c>
      <c r="B7" s="2" t="s">
        <v>34</v>
      </c>
      <c r="C7" s="2" t="s">
        <v>35</v>
      </c>
      <c r="D7" s="6" t="s">
        <v>31</v>
      </c>
      <c r="E7" s="2" t="s">
        <v>36</v>
      </c>
      <c r="F7" s="4" t="n">
        <v>4</v>
      </c>
      <c r="G7" s="4" t="n">
        <v>1</v>
      </c>
      <c r="H7" s="2" t="s">
        <v>37</v>
      </c>
    </row>
    <row r="8" customFormat="false" ht="23.85" hidden="false" customHeight="false" outlineLevel="0" collapsed="false">
      <c r="A8" s="2" t="s">
        <v>14</v>
      </c>
      <c r="B8" s="2" t="s">
        <v>38</v>
      </c>
      <c r="C8" s="2" t="s">
        <v>39</v>
      </c>
      <c r="D8" s="6" t="s">
        <v>31</v>
      </c>
      <c r="E8" s="2" t="s">
        <v>40</v>
      </c>
      <c r="F8" s="4" t="n">
        <v>2</v>
      </c>
      <c r="G8" s="4" t="n">
        <v>1.5</v>
      </c>
      <c r="H8" s="2" t="s">
        <v>41</v>
      </c>
    </row>
    <row r="9" customFormat="false" ht="23.85" hidden="false" customHeight="false" outlineLevel="0" collapsed="false">
      <c r="A9" s="2" t="s">
        <v>14</v>
      </c>
      <c r="B9" s="2" t="s">
        <v>42</v>
      </c>
      <c r="C9" s="2" t="s">
        <v>43</v>
      </c>
      <c r="D9" s="3" t="s">
        <v>11</v>
      </c>
      <c r="E9" s="2" t="s">
        <v>44</v>
      </c>
      <c r="F9" s="4" t="n">
        <v>2</v>
      </c>
      <c r="G9" s="4" t="n">
        <v>2</v>
      </c>
      <c r="H9" s="2" t="s">
        <v>45</v>
      </c>
    </row>
    <row r="10" customFormat="false" ht="46.25" hidden="false" customHeight="false" outlineLevel="0" collapsed="false">
      <c r="A10" s="2" t="s">
        <v>46</v>
      </c>
      <c r="B10" s="2" t="s">
        <v>47</v>
      </c>
      <c r="C10" s="2" t="s">
        <v>48</v>
      </c>
      <c r="D10" s="5" t="s">
        <v>17</v>
      </c>
      <c r="E10" s="2" t="s">
        <v>49</v>
      </c>
      <c r="F10" s="4" t="n">
        <v>8</v>
      </c>
      <c r="G10" s="4" t="n">
        <v>1</v>
      </c>
      <c r="H10" s="2" t="s">
        <v>50</v>
      </c>
    </row>
    <row r="11" customFormat="false" ht="35.05" hidden="false" customHeight="false" outlineLevel="0" collapsed="false">
      <c r="A11" s="2" t="s">
        <v>51</v>
      </c>
      <c r="B11" s="2" t="s">
        <v>52</v>
      </c>
      <c r="C11" s="2" t="s">
        <v>53</v>
      </c>
      <c r="D11" s="5" t="s">
        <v>54</v>
      </c>
      <c r="E11" s="2" t="s">
        <v>55</v>
      </c>
      <c r="F11" s="4" t="n">
        <v>16</v>
      </c>
      <c r="G11" s="4" t="n">
        <v>4</v>
      </c>
      <c r="H11" s="2" t="s">
        <v>56</v>
      </c>
    </row>
    <row r="12" customFormat="false" ht="35.05" hidden="false" customHeight="false" outlineLevel="0" collapsed="false">
      <c r="A12" s="2" t="s">
        <v>57</v>
      </c>
      <c r="B12" s="2" t="s">
        <v>58</v>
      </c>
      <c r="C12" s="2" t="s">
        <v>59</v>
      </c>
      <c r="D12" s="6" t="s">
        <v>60</v>
      </c>
      <c r="E12" s="2" t="s">
        <v>61</v>
      </c>
      <c r="F12" s="4" t="n">
        <v>6</v>
      </c>
      <c r="G12" s="4" t="n">
        <v>2</v>
      </c>
      <c r="H12" s="2" t="s">
        <v>62</v>
      </c>
    </row>
    <row r="13" customFormat="false" ht="23.85" hidden="false" customHeight="false" outlineLevel="0" collapsed="false">
      <c r="A13" s="2" t="s">
        <v>57</v>
      </c>
      <c r="B13" s="2" t="s">
        <v>63</v>
      </c>
      <c r="C13" s="2" t="s">
        <v>64</v>
      </c>
      <c r="D13" s="5" t="s">
        <v>17</v>
      </c>
      <c r="E13" s="2" t="s">
        <v>65</v>
      </c>
      <c r="F13" s="4" t="n">
        <v>4</v>
      </c>
      <c r="G13" s="4" t="n">
        <v>0.5</v>
      </c>
      <c r="H13" s="2" t="s">
        <v>66</v>
      </c>
    </row>
    <row r="14" customFormat="false" ht="35.05" hidden="false" customHeight="false" outlineLevel="0" collapsed="false">
      <c r="A14" s="2" t="s">
        <v>67</v>
      </c>
      <c r="B14" s="2" t="s">
        <v>68</v>
      </c>
      <c r="C14" s="2" t="s">
        <v>69</v>
      </c>
      <c r="D14" s="6" t="s">
        <v>26</v>
      </c>
      <c r="E14" s="2" t="s">
        <v>70</v>
      </c>
      <c r="F14" s="4" t="n">
        <v>8</v>
      </c>
      <c r="G14" s="4" t="n">
        <v>6</v>
      </c>
      <c r="H14" s="2" t="s">
        <v>71</v>
      </c>
    </row>
    <row r="15" customFormat="false" ht="35.05" hidden="false" customHeight="false" outlineLevel="0" collapsed="false">
      <c r="A15" s="2" t="s">
        <v>67</v>
      </c>
      <c r="B15" s="2" t="s">
        <v>72</v>
      </c>
      <c r="C15" s="2" t="s">
        <v>73</v>
      </c>
      <c r="D15" s="6" t="s">
        <v>26</v>
      </c>
      <c r="E15" s="2" t="s">
        <v>74</v>
      </c>
      <c r="F15" s="4" t="n">
        <v>8</v>
      </c>
      <c r="G15" s="4" t="n">
        <v>4.5</v>
      </c>
      <c r="H15" s="2" t="s">
        <v>75</v>
      </c>
    </row>
    <row r="16" customFormat="false" ht="35.05" hidden="false" customHeight="false" outlineLevel="0" collapsed="false">
      <c r="A16" s="2" t="s">
        <v>67</v>
      </c>
      <c r="B16" s="2" t="s">
        <v>76</v>
      </c>
      <c r="C16" s="2" t="s">
        <v>77</v>
      </c>
      <c r="D16" s="3" t="s">
        <v>11</v>
      </c>
      <c r="E16" s="2" t="s">
        <v>78</v>
      </c>
      <c r="F16" s="4" t="n">
        <v>4</v>
      </c>
      <c r="G16" s="4" t="n">
        <v>4</v>
      </c>
      <c r="H16" s="2" t="s">
        <v>79</v>
      </c>
    </row>
    <row r="17" customFormat="false" ht="15" hidden="false" customHeight="false" outlineLevel="0" collapsed="false">
      <c r="A17" s="7" t="s">
        <v>80</v>
      </c>
      <c r="E17" s="8" t="s">
        <v>81</v>
      </c>
      <c r="F17" s="9" t="n">
        <f aca="false">SUM(F2:F16)</f>
        <v>69</v>
      </c>
      <c r="G17" s="9" t="n">
        <f aca="false">SUM(G2:G16)</f>
        <v>28.75</v>
      </c>
    </row>
    <row r="18" customFormat="false" ht="15" hidden="false" customHeight="false" outlineLevel="0" collapsed="false">
      <c r="E18" s="8"/>
      <c r="F18" s="9" t="n">
        <f aca="false">F17-G17</f>
        <v>40.25</v>
      </c>
      <c r="G18" s="10" t="n">
        <f aca="false">IF(F17=0,0,(F17-G17)/F17)</f>
        <v>0.583333333333333</v>
      </c>
      <c r="H18" s="11" t="s">
        <v>82</v>
      </c>
    </row>
    <row r="20" customFormat="false" ht="15" hidden="false" customHeight="false" outlineLevel="0" collapsed="false">
      <c r="A20" s="7" t="s">
        <v>83</v>
      </c>
    </row>
    <row r="21" customFormat="false" ht="31.5" hidden="false" customHeight="true" outlineLevel="0" collapsed="false">
      <c r="A21" s="12" t="s">
        <v>84</v>
      </c>
      <c r="B21" s="12"/>
      <c r="C21" s="12"/>
      <c r="D21" s="12"/>
      <c r="E21" s="12"/>
      <c r="F21" s="12"/>
      <c r="G21" s="12"/>
      <c r="H21" s="12"/>
    </row>
    <row r="22" customFormat="false" ht="27.75" hidden="false" customHeight="true" outlineLevel="0" collapsed="false">
      <c r="A22" s="13" t="s">
        <v>85</v>
      </c>
      <c r="B22" s="13"/>
      <c r="C22" s="13"/>
      <c r="D22" s="13"/>
      <c r="E22" s="13"/>
      <c r="F22" s="13"/>
      <c r="G22" s="13"/>
      <c r="H22" s="13"/>
    </row>
    <row r="23" customFormat="false" ht="27.75" hidden="false" customHeight="true" outlineLevel="0" collapsed="false">
      <c r="A23" s="13" t="s">
        <v>86</v>
      </c>
      <c r="B23" s="13"/>
      <c r="C23" s="13"/>
      <c r="D23" s="13"/>
      <c r="E23" s="13"/>
      <c r="F23" s="13"/>
      <c r="G23" s="13"/>
      <c r="H23" s="13"/>
    </row>
    <row r="24" customFormat="false" ht="27.75" hidden="false" customHeight="true" outlineLevel="0" collapsed="false">
      <c r="A24" s="13" t="s">
        <v>87</v>
      </c>
      <c r="B24" s="13"/>
      <c r="C24" s="13"/>
      <c r="D24" s="13"/>
      <c r="E24" s="13"/>
      <c r="F24" s="13"/>
      <c r="G24" s="13"/>
      <c r="H24" s="13"/>
    </row>
  </sheetData>
  <autoFilter ref="A1:H16"/>
  <mergeCells count="4"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2026-09-09T14:32:40Z</dcterms:created>
  <dc:creator>openpyxl</dc:creator>
  <dc:description/>
  <dc:language>en-US</dc:language>
  <cp:lastModifiedBy/>
  <dcterms:modified xsi:type="dcterms:W3CDTF">2026-09-09T14:32:40Z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